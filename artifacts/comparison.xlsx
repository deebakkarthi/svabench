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bakkarthi/.local/src/svabench/artifacts/"/>
    </mc:Choice>
  </mc:AlternateContent>
  <xr:revisionPtr revIDLastSave="0" documentId="13_ncr:9_{EED1175E-CE61-6E41-8FD3-1EBA37BB2717}" xr6:coauthVersionLast="47" xr6:coauthVersionMax="47" xr10:uidLastSave="{00000000-0000-0000-0000-000000000000}"/>
  <bookViews>
    <workbookView xWindow="20" yWindow="620" windowWidth="25560" windowHeight="13300" xr2:uid="{923B2B89-20B1-3445-B42B-A211AED1841F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D2" i="1"/>
  <c r="B17" i="1"/>
  <c r="C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 l="1"/>
</calcChain>
</file>

<file path=xl/sharedStrings.xml><?xml version="1.0" encoding="utf-8"?>
<sst xmlns="http://schemas.openxmlformats.org/spreadsheetml/2006/main" count="19" uniqueCount="19">
  <si>
    <t>vga_lcd</t>
  </si>
  <si>
    <t>openmsp430</t>
  </si>
  <si>
    <t>sha3</t>
  </si>
  <si>
    <t>tiny_aes</t>
  </si>
  <si>
    <t>sdcard_mass_storage_controller</t>
  </si>
  <si>
    <t>sockit_owm</t>
  </si>
  <si>
    <t>i2c</t>
  </si>
  <si>
    <t>xge_mac</t>
  </si>
  <si>
    <t>ethmac</t>
  </si>
  <si>
    <t>pairing</t>
  </si>
  <si>
    <t>ecg</t>
  </si>
  <si>
    <t>tiny_tate_bilinear_pairing</t>
  </si>
  <si>
    <t>reed_solomon_decoder</t>
  </si>
  <si>
    <t>hpdmc</t>
  </si>
  <si>
    <t>sdr_ctrl</t>
  </si>
  <si>
    <t>BENCHMARK</t>
  </si>
  <si>
    <t xml:space="preserve">  TOKENS </t>
  </si>
  <si>
    <t xml:space="preserve"> PREPROCESSED  TOKENS </t>
  </si>
  <si>
    <t>TOKEN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</si>
</sst>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  <numFmt numFmtId="173" formatCode="0.0000000"/>
  </numFmts>
  <fonts count="19">
    <font>
      <sz val="12"/>
      <color theme="1"/>
      <name val="BookmanOldStyle"/>
      <family val="2"/>
    </font>
    <font>
      <sz val="12"/>
      <color theme="1"/>
      <name val="BookmanOldStyl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ookmanOldStyle"/>
      <family val="2"/>
    </font>
    <font>
      <b/>
      <sz val="13"/>
      <color theme="3"/>
      <name val="BookmanOldStyle"/>
      <family val="2"/>
    </font>
    <font>
      <b/>
      <sz val="11"/>
      <color theme="3"/>
      <name val="BookmanOldStyle"/>
      <family val="2"/>
    </font>
    <font>
      <sz val="12"/>
      <color rgb="FF006100"/>
      <name val="BookmanOldStyle"/>
      <family val="2"/>
    </font>
    <font>
      <sz val="12"/>
      <color rgb="FF9C0006"/>
      <name val="BookmanOldStyle"/>
      <family val="2"/>
    </font>
    <font>
      <sz val="12"/>
      <color rgb="FF9C5700"/>
      <name val="BookmanOldStyle"/>
      <family val="2"/>
    </font>
    <font>
      <sz val="12"/>
      <color rgb="FF3F3F76"/>
      <name val="BookmanOldStyle"/>
      <family val="2"/>
    </font>
    <font>
      <b/>
      <sz val="12"/>
      <color rgb="FF3F3F3F"/>
      <name val="BookmanOldStyle"/>
      <family val="2"/>
    </font>
    <font>
      <b/>
      <sz val="12"/>
      <color rgb="FFFA7D00"/>
      <name val="BookmanOldStyle"/>
      <family val="2"/>
    </font>
    <font>
      <sz val="12"/>
      <color rgb="FFFA7D00"/>
      <name val="BookmanOldStyle"/>
      <family val="2"/>
    </font>
    <font>
      <b/>
      <sz val="12"/>
      <color theme="0"/>
      <name val="BookmanOldStyle"/>
      <family val="2"/>
    </font>
    <font>
      <sz val="12"/>
      <color rgb="FFFF0000"/>
      <name val="BookmanOldStyle"/>
      <family val="2"/>
    </font>
    <font>
      <i/>
      <sz val="12"/>
      <color rgb="FF7F7F7F"/>
      <name val="BookmanOldStyle"/>
      <family val="2"/>
    </font>
    <font>
      <b/>
      <sz val="12"/>
      <color theme="1"/>
      <name val="BookmanOldStyle"/>
      <family val="2"/>
    </font>
    <font>
      <sz val="12"/>
      <color theme="0"/>
      <name val="BookmanOldStyle"/>
      <family val="2"/>
    </font>
    <font>
      <b/>
      <sz val="12"/>
      <color theme="1"/>
      <name val="BookmanOldStyle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9" fontId="0" fillId="0" borderId="0" xfId="3" applyFont="1"/>
    <xf numFmtId="168" fontId="0" fillId="0" borderId="0" xfId="1" applyNumberFormat="1" applyFont="1"/>
    <xf numFmtId="0" fontId="18" fillId="0" borderId="0" xfId="0" applyFont="1"/>
    <xf numFmtId="9" fontId="18" fillId="0" borderId="0" xfId="3" applyFont="1"/>
    <xf numFmtId="0" fontId="18" fillId="0" borderId="10" xfId="0" applyFont="1" applyBorder="1"/>
    <xf numFmtId="168" fontId="0" fillId="0" borderId="10" xfId="1" applyNumberFormat="1" applyFont="1" applyBorder="1"/>
    <xf numFmtId="9" fontId="0" fillId="0" borderId="10" xfId="3" applyFont="1" applyBorder="1"/>
    <xf numFmtId="168" fontId="18" fillId="0" borderId="10" xfId="1" applyNumberFormat="1" applyFont="1" applyBorder="1"/>
    <xf numFmtId="9" fontId="18" fillId="0" borderId="10" xfId="3" applyFont="1" applyBorder="1"/>
    <xf numFmtId="173" fontId="0" fillId="0" borderId="10" xfId="3" applyNumberFormat="1" applyFont="1" applyBorder="1"/>
    <xf numFmtId="44" fontId="18" fillId="0" borderId="10" xfId="2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542A-953B-8743-B204-7BED30FEE635}">
  <dimension ref="A1:H18"/>
  <sheetViews>
    <sheetView tabSelected="1" workbookViewId="0">
      <selection activeCell="D21" sqref="D21"/>
    </sheetView>
  </sheetViews>
  <sheetFormatPr baseColWidth="10" defaultRowHeight="16"/>
  <cols>
    <col min="1" max="1" width="29.85546875" style="3" bestFit="1" customWidth="1"/>
    <col min="2" max="2" width="11.28515625" style="2" bestFit="1" customWidth="1"/>
    <col min="3" max="3" width="27.140625" style="2" bestFit="1" customWidth="1"/>
    <col min="4" max="5" width="17" style="2" bestFit="1" customWidth="1"/>
    <col min="7" max="7" width="16.5703125" style="1" bestFit="1" customWidth="1"/>
    <col min="8" max="8" width="13.140625" style="1" bestFit="1" customWidth="1"/>
  </cols>
  <sheetData>
    <row r="1" spans="1:4">
      <c r="A1" s="5" t="s">
        <v>15</v>
      </c>
      <c r="B1" s="6" t="s">
        <v>16</v>
      </c>
      <c r="C1" s="6" t="s">
        <v>17</v>
      </c>
      <c r="D1" s="6" t="s">
        <v>18</v>
      </c>
    </row>
    <row r="2" spans="1:4">
      <c r="A2" s="5" t="s">
        <v>10</v>
      </c>
      <c r="B2" s="6">
        <v>33430</v>
      </c>
      <c r="C2" s="6">
        <v>29623</v>
      </c>
      <c r="D2" s="7">
        <f>(C2-B2)/B2</f>
        <v>-0.11387974872868681</v>
      </c>
    </row>
    <row r="3" spans="1:4">
      <c r="A3" s="5" t="s">
        <v>8</v>
      </c>
      <c r="B3" s="6">
        <v>194000</v>
      </c>
      <c r="C3" s="6">
        <v>105087</v>
      </c>
      <c r="D3" s="7">
        <f>(C3-B3)/B3</f>
        <v>-0.45831443298969071</v>
      </c>
    </row>
    <row r="4" spans="1:4">
      <c r="A4" s="5" t="s">
        <v>13</v>
      </c>
      <c r="B4" s="6">
        <v>63501</v>
      </c>
      <c r="C4" s="6">
        <v>46492</v>
      </c>
      <c r="D4" s="7">
        <f>(C4-B4)/B4</f>
        <v>-0.2678540495425269</v>
      </c>
    </row>
    <row r="5" spans="1:4">
      <c r="A5" s="5" t="s">
        <v>6</v>
      </c>
      <c r="B5" s="6">
        <v>23188</v>
      </c>
      <c r="C5" s="6">
        <v>13888</v>
      </c>
      <c r="D5" s="7">
        <f>(C5-B5)/B5</f>
        <v>-0.40106951871657753</v>
      </c>
    </row>
    <row r="6" spans="1:4">
      <c r="A6" s="5" t="s">
        <v>1</v>
      </c>
      <c r="B6" s="6">
        <v>207072</v>
      </c>
      <c r="C6" s="6">
        <v>96915</v>
      </c>
      <c r="D6" s="7">
        <f>(C6-B6)/B6</f>
        <v>-0.53197438572090872</v>
      </c>
    </row>
    <row r="7" spans="1:4">
      <c r="A7" s="5" t="s">
        <v>9</v>
      </c>
      <c r="B7" s="6">
        <v>42150</v>
      </c>
      <c r="C7" s="6">
        <v>36396</v>
      </c>
      <c r="D7" s="7">
        <f>(C7-B7)/B7</f>
        <v>-0.13651245551601424</v>
      </c>
    </row>
    <row r="8" spans="1:4">
      <c r="A8" s="5" t="s">
        <v>12</v>
      </c>
      <c r="B8" s="6">
        <v>52227</v>
      </c>
      <c r="C8" s="6">
        <v>41416</v>
      </c>
      <c r="D8" s="7">
        <f>(C8-B8)/B8</f>
        <v>-0.20700021061902849</v>
      </c>
    </row>
    <row r="9" spans="1:4">
      <c r="A9" s="5" t="s">
        <v>4</v>
      </c>
      <c r="B9" s="6">
        <v>44137</v>
      </c>
      <c r="C9" s="6">
        <v>33140</v>
      </c>
      <c r="D9" s="7">
        <f>(C9-B9)/B9</f>
        <v>-0.24915603688515306</v>
      </c>
    </row>
    <row r="10" spans="1:4">
      <c r="A10" s="5" t="s">
        <v>14</v>
      </c>
      <c r="B10" s="6">
        <v>65383</v>
      </c>
      <c r="C10" s="6">
        <v>43838</v>
      </c>
      <c r="D10" s="7">
        <f>(C10-B10)/B10</f>
        <v>-0.32951990578590767</v>
      </c>
    </row>
    <row r="11" spans="1:4">
      <c r="A11" s="5" t="s">
        <v>2</v>
      </c>
      <c r="B11" s="6">
        <v>9498</v>
      </c>
      <c r="C11" s="6">
        <v>7531</v>
      </c>
      <c r="D11" s="7">
        <f>(C11-B11)/B11</f>
        <v>-0.20709623078542852</v>
      </c>
    </row>
    <row r="12" spans="1:4">
      <c r="A12" s="5" t="s">
        <v>5</v>
      </c>
      <c r="B12" s="6">
        <v>7812</v>
      </c>
      <c r="C12" s="6">
        <v>5163</v>
      </c>
      <c r="D12" s="7">
        <f>(C12-B12)/B12</f>
        <v>-0.33909370199692779</v>
      </c>
    </row>
    <row r="13" spans="1:4">
      <c r="A13" s="5" t="s">
        <v>3</v>
      </c>
      <c r="B13" s="6">
        <v>13377</v>
      </c>
      <c r="C13" s="6">
        <v>12485</v>
      </c>
      <c r="D13" s="7">
        <f>(C13-B13)/B13</f>
        <v>-6.6681617702025867E-2</v>
      </c>
    </row>
    <row r="14" spans="1:4">
      <c r="A14" s="5" t="s">
        <v>11</v>
      </c>
      <c r="B14" s="6">
        <v>46775</v>
      </c>
      <c r="C14" s="6">
        <v>43788</v>
      </c>
      <c r="D14" s="7">
        <f>(C14-B14)/B14</f>
        <v>-6.385889898450027E-2</v>
      </c>
    </row>
    <row r="15" spans="1:4">
      <c r="A15" s="5" t="s">
        <v>0</v>
      </c>
      <c r="B15" s="6">
        <v>73527</v>
      </c>
      <c r="C15" s="6">
        <v>33459</v>
      </c>
      <c r="D15" s="7">
        <f>(C15-B15)/B15</f>
        <v>-0.54494267411971109</v>
      </c>
    </row>
    <row r="16" spans="1:4">
      <c r="A16" s="5" t="s">
        <v>7</v>
      </c>
      <c r="B16" s="6">
        <v>79658</v>
      </c>
      <c r="C16" s="6">
        <v>81004</v>
      </c>
      <c r="D16" s="7">
        <f>(C16-B16)/B16</f>
        <v>1.6897235682542869E-2</v>
      </c>
    </row>
    <row r="17" spans="1:7">
      <c r="A17" s="5"/>
      <c r="B17" s="8">
        <f>SUM(B2:B16)</f>
        <v>955735</v>
      </c>
      <c r="C17" s="8">
        <f>SUM(C2:C16)</f>
        <v>630225</v>
      </c>
      <c r="D17" s="9">
        <f>(C17-B17)/B17</f>
        <v>-0.34058604110972185</v>
      </c>
      <c r="G17" s="4"/>
    </row>
    <row r="18" spans="1:7">
      <c r="A18" s="10"/>
      <c r="B18" s="11">
        <f>B17*(5/1000000)</f>
        <v>4.7786750000000007</v>
      </c>
      <c r="C18" s="11">
        <f>C17*(5/1000000)</f>
        <v>3.1511250000000004</v>
      </c>
      <c r="D18" s="6"/>
    </row>
  </sheetData>
  <sortState xmlns:xlrd2="http://schemas.microsoft.com/office/spreadsheetml/2017/richdata2" ref="D2:F16">
    <sortCondition ref="D2:D16"/>
  </sortState>
  <conditionalFormatting sqref="D2:D17 A18 G2:G6 G8:G17">
    <cfRule type="colorScale" priority="3">
      <colorScale>
        <cfvo type="min"/>
        <cfvo type="max"/>
        <color rgb="FF63BE7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Chinnasame Rani, Deebakkarthi (brg8ve)</cp:lastModifiedBy>
  <dcterms:created xsi:type="dcterms:W3CDTF">2026-07-16T15:46:06Z</dcterms:created>
  <dcterms:modified xsi:type="dcterms:W3CDTF">2026-07-16T16:07:13Z</dcterms:modified>
</cp:coreProperties>
</file>